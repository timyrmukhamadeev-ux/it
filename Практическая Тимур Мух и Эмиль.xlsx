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6535" windowHeight="14490" activeTab="1"/>
  </bookViews>
  <sheets>
    <sheet name="Зарплата" sheetId="1" r:id="rId1"/>
    <sheet name="Товары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3" l="1"/>
  <c r="D6" i="3"/>
  <c r="C6" i="3"/>
  <c r="B6" i="3"/>
  <c r="G6" i="3"/>
  <c r="F6" i="3"/>
  <c r="E10" i="1"/>
  <c r="C10" i="1"/>
  <c r="B10" i="1"/>
  <c r="E11" i="1"/>
  <c r="D11" i="1"/>
  <c r="C11" i="1"/>
  <c r="B9" i="1"/>
  <c r="C9" i="1"/>
  <c r="D9" i="1"/>
  <c r="D10" i="1"/>
  <c r="E9" i="1"/>
  <c r="F9" i="1"/>
  <c r="F11" i="1"/>
  <c r="B11" i="1"/>
  <c r="F10" i="1"/>
  <c r="F7" i="1"/>
  <c r="E7" i="1"/>
  <c r="D7" i="1"/>
  <c r="C7" i="1"/>
  <c r="B7" i="1"/>
  <c r="G3" i="3"/>
  <c r="G4" i="3"/>
  <c r="G5" i="3"/>
  <c r="G2" i="3"/>
  <c r="F3" i="3"/>
  <c r="F4" i="3"/>
  <c r="F5" i="3"/>
  <c r="F2" i="3"/>
  <c r="E3" i="3"/>
  <c r="E4" i="3"/>
  <c r="E5" i="3"/>
  <c r="E2" i="3"/>
  <c r="D6" i="1"/>
  <c r="D5" i="1"/>
  <c r="D4" i="1"/>
  <c r="E4" i="1" s="1"/>
  <c r="E3" i="1"/>
  <c r="F3" i="1" s="1"/>
  <c r="D3" i="1"/>
  <c r="K2" i="1"/>
  <c r="J2" i="1"/>
  <c r="D2" i="1"/>
  <c r="F4" i="1" l="1"/>
  <c r="E5" i="1"/>
  <c r="F5" i="1" s="1"/>
  <c r="E6" i="1"/>
  <c r="F6" i="1" s="1"/>
  <c r="E2" i="1"/>
  <c r="F2" i="1" s="1"/>
</calcChain>
</file>

<file path=xl/sharedStrings.xml><?xml version="1.0" encoding="utf-8"?>
<sst xmlns="http://schemas.openxmlformats.org/spreadsheetml/2006/main" count="30" uniqueCount="30">
  <si>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</si>
  <si>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</si>
  <si>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</si>
  <si>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</si>
  <si>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</si>
  <si>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</si>
  <si>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</si>
  <si>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</si>
  <si>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</si>
  <si>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</si>
  <si>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</si>
  <si>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</si>
  <si>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Ставка НДФЛ:</t>
  </si>
  <si>
    <t>Коэффициент: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</si>
  <si>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</si>
  <si>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</si>
  <si>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</si>
  <si>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</si>
  <si>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</si>
  <si>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</si>
  <si>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</si>
  <si>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</si>
  <si>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</si>
  <si>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</si>
  <si>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Ноутбук</t>
  </si>
  <si>
    <t>Монитор</t>
  </si>
  <si>
    <t>Клавиатура</t>
  </si>
  <si>
    <t>Мышь</t>
  </si>
  <si>
    <t>НДС</t>
  </si>
  <si>
    <t>НДС (руб.)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</si>
</sst>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_-* #,##0.00\ [$₽-419]_-;\-* #,##0.00\ [$₽-419]_-;_-* &quot;-&quot;??\ [$₽-419]_-;_-@_-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Calibri"/>
      <family val="2"/>
      <charset val="204"/>
      <scheme val="minor"/>
    </font>
    <font>
      <sz val="11"/>
      <color rgb="FF0F1115"/>
      <name val="Consolas"/>
      <family val="3"/>
      <charset val="204"/>
    </font>
    <font>
      <sz val="10"/>
      <color rgb="FF0F1115"/>
      <name val="Consolas"/>
      <family val="3"/>
      <charset val="204"/>
    </font>
    <font>
      <sz val="10"/>
      <color rgb="FF0F1115"/>
      <name val="Calibri"/>
      <family val="2"/>
      <charset val="204"/>
      <scheme val="minor"/>
    </font>
    <font>
      <b/>
      <sz val="11"/>
      <color rgb="FF0F1115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center"/>
    </xf>
    <xf numFmtId="168" fontId="0" fillId="0" borderId="0" xfId="0" applyNumberFormat="1"/>
    <xf numFmtId="0" fontId="0" fillId="0" borderId="1" xfId="0" applyFont="1" applyBorder="1"/>
    <xf numFmtId="168" fontId="1" fillId="3" borderId="1" xfId="0" applyNumberFormat="1" applyFont="1" applyFill="1" applyBorder="1" applyAlignment="1">
      <alignment horizontal="center" vertical="center" wrapText="1"/>
    </xf>
    <xf numFmtId="168" fontId="1" fillId="3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 indent="1"/>
    </xf>
    <xf numFmtId="168" fontId="3" fillId="2" borderId="1" xfId="0" applyNumberFormat="1" applyFont="1" applyFill="1" applyBorder="1" applyAlignment="1">
      <alignment horizontal="left" vertical="center" wrapText="1" indent="1"/>
    </xf>
    <xf numFmtId="168" fontId="0" fillId="0" borderId="1" xfId="0" applyNumberFormat="1" applyFont="1" applyBorder="1"/>
    <xf numFmtId="168" fontId="3" fillId="0" borderId="1" xfId="0" applyNumberFormat="1" applyFont="1" applyBorder="1"/>
    <xf numFmtId="168" fontId="6" fillId="0" borderId="1" xfId="0" applyNumberFormat="1" applyFont="1" applyBorder="1" applyAlignment="1">
      <alignment horizontal="left" vertical="center" indent="1"/>
    </xf>
    <xf numFmtId="0" fontId="3" fillId="0" borderId="1" xfId="0" applyFont="1" applyBorder="1"/>
    <xf numFmtId="0" fontId="3" fillId="4" borderId="1" xfId="0" applyFont="1" applyFill="1" applyBorder="1"/>
    <xf numFmtId="0" fontId="6" fillId="0" borderId="1" xfId="0" applyFont="1" applyBorder="1" applyAlignment="1">
      <alignment horizontal="left" vertical="center" indent="1"/>
    </xf>
    <xf numFmtId="0" fontId="7" fillId="0" borderId="1" xfId="0" applyFont="1" applyBorder="1"/>
    <xf numFmtId="0" fontId="4" fillId="0" borderId="1" xfId="0" applyFont="1" applyBorder="1"/>
    <xf numFmtId="168" fontId="5" fillId="0" borderId="1" xfId="0" applyNumberFormat="1" applyFont="1" applyBorder="1" applyAlignment="1">
      <alignment horizontal="left" vertical="center" indent="1"/>
    </xf>
    <xf numFmtId="0" fontId="0" fillId="4" borderId="1" xfId="0" applyFill="1" applyBorder="1"/>
    <xf numFmtId="168" fontId="0" fillId="0" borderId="1" xfId="0" applyNumberFormat="1" applyBorder="1"/>
    <xf numFmtId="168" fontId="2" fillId="2" borderId="1" xfId="0" applyNumberFormat="1" applyFont="1" applyFill="1" applyBorder="1" applyAlignment="1">
      <alignment horizontal="left" vertical="center" wrapText="1" indent="1"/>
    </xf>
    <xf numFmtId="168" fontId="0" fillId="0" borderId="1" xfId="0" applyNumberFormat="1" applyFill="1" applyBorder="1"/>
    <xf numFmtId="168" fontId="5" fillId="0" borderId="1" xfId="0" applyNumberFormat="1" applyFont="1" applyFill="1" applyBorder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H5" sqref="H5"/>
    </sheetView>
  </sheetViews>
  <sheetFormatPr defaultRowHeight="15" x14ac:dyDescent="0.25"/>
  <cols>
    <col min="1" max="1" width="18.28515625" customWidth="1"/>
    <col min="2" max="2" width="17" style="4" customWidth="1"/>
    <col min="3" max="4" width="16" style="4" customWidth="1"/>
    <col min="5" max="6" width="15.42578125" style="4" customWidth="1"/>
    <col min="7" max="7" width="12.5703125" customWidth="1"/>
    <col min="8" max="8" width="12.140625" customWidth="1"/>
    <col min="9" max="9" width="12" customWidth="1"/>
    <col min="10" max="10" width="12.5703125" customWidth="1"/>
    <col min="11" max="11" width="12" customWidth="1"/>
  </cols>
  <sheetData>
    <row r="1" spans="1:11" ht="15" customHeight="1" x14ac:dyDescent="0.25">
      <c r="A1" s="3" t="s">
        <v>0</v>
      </c>
      <c r="B1" s="6" t="s">
        <v>1</v>
      </c>
      <c r="C1" s="7" t="s">
        <v>2</v>
      </c>
      <c r="D1" s="6" t="s">
        <v>3</v>
      </c>
      <c r="E1" s="7" t="s">
        <v>4</v>
      </c>
      <c r="F1" s="7" t="s">
        <v>5</v>
      </c>
      <c r="G1" s="5" t="s">
        <v>11</v>
      </c>
      <c r="H1" s="13" t="s">
        <v>12</v>
      </c>
      <c r="I1" s="13" t="s">
        <v>13</v>
      </c>
      <c r="J1" s="5"/>
      <c r="K1" s="5"/>
    </row>
    <row r="2" spans="1:11" ht="15" customHeight="1" x14ac:dyDescent="0.25">
      <c r="A2" s="8" t="s">
        <v>6</v>
      </c>
      <c r="B2" s="9">
        <v>50000</v>
      </c>
      <c r="C2" s="9">
        <v>20</v>
      </c>
      <c r="D2" s="10">
        <f>B2*C2/100</f>
        <v>10000</v>
      </c>
      <c r="E2" s="11">
        <f>(B2+D2)*$H$2</f>
        <v>9000</v>
      </c>
      <c r="F2" s="12">
        <f>B2+D2-E2</f>
        <v>51000</v>
      </c>
      <c r="G2" s="5">
        <v>1</v>
      </c>
      <c r="H2" s="14">
        <v>0.15</v>
      </c>
      <c r="I2" s="13">
        <v>1.5</v>
      </c>
      <c r="J2" s="15">
        <f>B2*$I$2</f>
        <v>75000</v>
      </c>
      <c r="K2" s="15">
        <f>C2*$I$2</f>
        <v>30</v>
      </c>
    </row>
    <row r="3" spans="1:11" ht="15" customHeight="1" x14ac:dyDescent="0.25">
      <c r="A3" s="8" t="s">
        <v>7</v>
      </c>
      <c r="B3" s="9">
        <v>45000</v>
      </c>
      <c r="C3" s="9">
        <v>15</v>
      </c>
      <c r="D3" s="10">
        <f t="shared" ref="D3:D6" si="0">B3*C3/100</f>
        <v>6750</v>
      </c>
      <c r="E3" s="11">
        <f t="shared" ref="E3:E6" si="1">(B3+D3)*$H$2</f>
        <v>7762.5</v>
      </c>
      <c r="F3" s="12">
        <f t="shared" ref="F3:F6" si="2">B3+D3-E3</f>
        <v>43987.5</v>
      </c>
      <c r="G3" s="5">
        <v>2</v>
      </c>
      <c r="H3" s="5"/>
      <c r="I3" s="5"/>
      <c r="J3" s="5"/>
      <c r="K3" s="5"/>
    </row>
    <row r="4" spans="1:11" ht="15" customHeight="1" x14ac:dyDescent="0.25">
      <c r="A4" s="8" t="s">
        <v>8</v>
      </c>
      <c r="B4" s="9">
        <v>62000</v>
      </c>
      <c r="C4" s="9">
        <v>25</v>
      </c>
      <c r="D4" s="10">
        <f t="shared" si="0"/>
        <v>15500</v>
      </c>
      <c r="E4" s="11">
        <f t="shared" si="1"/>
        <v>11625</v>
      </c>
      <c r="F4" s="12">
        <f t="shared" si="2"/>
        <v>65875</v>
      </c>
      <c r="G4" s="5">
        <v>3</v>
      </c>
      <c r="H4" s="5"/>
      <c r="I4" s="5"/>
      <c r="J4" s="5"/>
      <c r="K4" s="5"/>
    </row>
    <row r="5" spans="1:11" ht="15" customHeight="1" x14ac:dyDescent="0.25">
      <c r="A5" s="8" t="s">
        <v>9</v>
      </c>
      <c r="B5" s="9">
        <v>55000</v>
      </c>
      <c r="C5" s="9">
        <v>10</v>
      </c>
      <c r="D5" s="10">
        <f t="shared" si="0"/>
        <v>5500</v>
      </c>
      <c r="E5" s="11">
        <f t="shared" si="1"/>
        <v>9075</v>
      </c>
      <c r="F5" s="12">
        <f t="shared" si="2"/>
        <v>51425</v>
      </c>
      <c r="G5" s="5">
        <v>4</v>
      </c>
      <c r="H5" s="5"/>
      <c r="I5" s="5"/>
      <c r="J5" s="5"/>
      <c r="K5" s="5"/>
    </row>
    <row r="6" spans="1:11" ht="15" customHeight="1" x14ac:dyDescent="0.25">
      <c r="A6" s="8" t="s">
        <v>10</v>
      </c>
      <c r="B6" s="9">
        <v>40000</v>
      </c>
      <c r="C6" s="9">
        <v>30</v>
      </c>
      <c r="D6" s="10">
        <f t="shared" si="0"/>
        <v>12000</v>
      </c>
      <c r="E6" s="11">
        <f t="shared" si="1"/>
        <v>7800</v>
      </c>
      <c r="F6" s="12">
        <f t="shared" si="2"/>
        <v>44200</v>
      </c>
      <c r="G6" s="5">
        <v>5</v>
      </c>
      <c r="H6" s="5"/>
      <c r="I6" s="5"/>
      <c r="J6" s="5"/>
      <c r="K6" s="5"/>
    </row>
    <row r="7" spans="1:11" x14ac:dyDescent="0.25">
      <c r="A7" s="16" t="s">
        <v>14</v>
      </c>
      <c r="B7" s="12">
        <f>SUM(B2:B6)</f>
        <v>252000</v>
      </c>
      <c r="C7" s="10">
        <f>SUM(B2:B6)</f>
        <v>252000</v>
      </c>
      <c r="D7" s="10">
        <f>SUM(B2:B6)</f>
        <v>252000</v>
      </c>
      <c r="E7" s="10">
        <f>SUM(B2:B6)</f>
        <v>252000</v>
      </c>
      <c r="F7" s="10">
        <f>SUM(B2:B6)</f>
        <v>252000</v>
      </c>
      <c r="G7" s="5"/>
      <c r="H7" s="5"/>
      <c r="I7" s="5"/>
      <c r="J7" s="5"/>
      <c r="K7" s="5"/>
    </row>
    <row r="8" spans="1:11" x14ac:dyDescent="0.25">
      <c r="A8" s="5"/>
      <c r="B8" s="10"/>
      <c r="C8" s="10"/>
      <c r="D8" s="10"/>
      <c r="E8" s="10"/>
      <c r="F8" s="10"/>
      <c r="G8" s="5"/>
      <c r="H8" s="5"/>
      <c r="I8" s="5"/>
      <c r="J8" s="5"/>
      <c r="K8" s="5"/>
    </row>
    <row r="9" spans="1:11" x14ac:dyDescent="0.25">
      <c r="A9" s="13" t="s">
        <v>15</v>
      </c>
      <c r="B9" s="12">
        <f>AVERAGE(B2:B6)</f>
        <v>50400</v>
      </c>
      <c r="C9" s="10">
        <f>AVERAGE(C2:C6)</f>
        <v>20</v>
      </c>
      <c r="D9" s="10">
        <f>AVERAGE(D2:D6)</f>
        <v>9950</v>
      </c>
      <c r="E9" s="10">
        <f>AVERAGE(E2:E6)</f>
        <v>9052.5</v>
      </c>
      <c r="F9" s="10">
        <f>AVERAGE(F2:F6)</f>
        <v>51297.5</v>
      </c>
      <c r="G9" s="5"/>
      <c r="H9" s="5"/>
      <c r="I9" s="5"/>
      <c r="J9" s="5"/>
      <c r="K9" s="5"/>
    </row>
    <row r="10" spans="1:11" ht="15" customHeight="1" x14ac:dyDescent="0.25">
      <c r="A10" s="17" t="s">
        <v>16</v>
      </c>
      <c r="B10" s="18">
        <f>MAX(B2:B6)</f>
        <v>62000</v>
      </c>
      <c r="C10" s="18">
        <f>MAX(C2:C6)</f>
        <v>30</v>
      </c>
      <c r="D10" s="18">
        <f>MAX(D2:D6)</f>
        <v>15500</v>
      </c>
      <c r="E10" s="18">
        <f>MAX(E2:E6)</f>
        <v>11625</v>
      </c>
      <c r="F10" s="18">
        <f>MAX(F2:F6)</f>
        <v>65875</v>
      </c>
      <c r="G10" s="1"/>
      <c r="H10" s="1"/>
      <c r="I10" s="1"/>
      <c r="J10" s="1"/>
      <c r="K10" s="1"/>
    </row>
    <row r="11" spans="1:11" x14ac:dyDescent="0.25">
      <c r="A11" s="17" t="s">
        <v>17</v>
      </c>
      <c r="B11" s="18">
        <f>MIN(F2:F6)</f>
        <v>43987.5</v>
      </c>
      <c r="C11" s="18">
        <f>MIN(C2:C6)</f>
        <v>10</v>
      </c>
      <c r="D11" s="18">
        <f>MIN(D2:D6)</f>
        <v>5500</v>
      </c>
      <c r="E11" s="18">
        <f>MIN(E2:E6)</f>
        <v>7762.5</v>
      </c>
      <c r="F11" s="18">
        <f>MIN(F2:F6)</f>
        <v>43987.5</v>
      </c>
      <c r="G11" s="1"/>
      <c r="H11" s="1"/>
      <c r="I11" s="1"/>
      <c r="J11" s="1"/>
      <c r="K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I9" sqref="I9"/>
    </sheetView>
  </sheetViews>
  <sheetFormatPr defaultRowHeight="15" x14ac:dyDescent="0.25"/>
  <cols>
    <col min="2" max="2" width="15.28515625" customWidth="1"/>
    <col min="3" max="3" width="12.7109375" customWidth="1"/>
    <col min="4" max="4" width="12.5703125" customWidth="1"/>
    <col min="5" max="5" width="15.5703125" customWidth="1"/>
    <col min="6" max="6" width="17.140625" customWidth="1"/>
    <col min="7" max="7" width="16.140625" customWidth="1"/>
  </cols>
  <sheetData>
    <row r="1" spans="1:8" ht="15" customHeight="1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17" t="s">
        <v>29</v>
      </c>
      <c r="H1" s="2" t="s">
        <v>28</v>
      </c>
    </row>
    <row r="2" spans="1:8" ht="15" customHeight="1" x14ac:dyDescent="0.25">
      <c r="A2" s="2" t="s">
        <v>24</v>
      </c>
      <c r="B2" s="21">
        <v>45000</v>
      </c>
      <c r="C2" s="21">
        <v>5</v>
      </c>
      <c r="D2" s="21">
        <v>5</v>
      </c>
      <c r="E2" s="20">
        <f>B2*C2</f>
        <v>225000</v>
      </c>
      <c r="F2" s="18">
        <f>E2*(1-D2/100)</f>
        <v>213750</v>
      </c>
      <c r="G2" s="18">
        <f>E2*$H$2</f>
        <v>45000</v>
      </c>
      <c r="H2" s="19">
        <v>0.2</v>
      </c>
    </row>
    <row r="3" spans="1:8" ht="15" customHeight="1" x14ac:dyDescent="0.25">
      <c r="A3" s="2" t="s">
        <v>25</v>
      </c>
      <c r="B3" s="21">
        <v>18000</v>
      </c>
      <c r="C3" s="21">
        <v>10</v>
      </c>
      <c r="D3" s="21">
        <v>3</v>
      </c>
      <c r="E3" s="20">
        <f t="shared" ref="E3:E5" si="0">B3*C3</f>
        <v>180000</v>
      </c>
      <c r="F3" s="18">
        <f t="shared" ref="F3:F5" si="1">E3*(1-D3/100)</f>
        <v>174600</v>
      </c>
      <c r="G3" s="18">
        <f t="shared" ref="G3:G5" si="2">E3*$H$2</f>
        <v>36000</v>
      </c>
      <c r="H3" s="1"/>
    </row>
    <row r="4" spans="1:8" ht="15" customHeight="1" x14ac:dyDescent="0.25">
      <c r="A4" s="2" t="s">
        <v>26</v>
      </c>
      <c r="B4" s="21">
        <v>1500</v>
      </c>
      <c r="C4" s="21">
        <v>25</v>
      </c>
      <c r="D4" s="21">
        <v>10</v>
      </c>
      <c r="E4" s="20">
        <f t="shared" si="0"/>
        <v>37500</v>
      </c>
      <c r="F4" s="18">
        <f t="shared" si="1"/>
        <v>33750</v>
      </c>
      <c r="G4" s="18">
        <f t="shared" si="2"/>
        <v>7500</v>
      </c>
      <c r="H4" s="1"/>
    </row>
    <row r="5" spans="1:8" ht="16.5" x14ac:dyDescent="0.25">
      <c r="A5" s="2" t="s">
        <v>27</v>
      </c>
      <c r="B5" s="21">
        <v>800</v>
      </c>
      <c r="C5" s="21">
        <v>30</v>
      </c>
      <c r="D5" s="21">
        <v>7</v>
      </c>
      <c r="E5" s="20">
        <f t="shared" si="0"/>
        <v>24000</v>
      </c>
      <c r="F5" s="18">
        <f t="shared" si="1"/>
        <v>22320</v>
      </c>
      <c r="G5" s="18">
        <f t="shared" si="2"/>
        <v>4800</v>
      </c>
      <c r="H5" s="1"/>
    </row>
    <row r="6" spans="1:8" x14ac:dyDescent="0.25">
      <c r="A6" s="1"/>
      <c r="B6" s="20">
        <f>SUM(B2:B5)</f>
        <v>65300</v>
      </c>
      <c r="C6" s="20">
        <f>SUM(C2:C5)</f>
        <v>70</v>
      </c>
      <c r="D6" s="20">
        <f>SUM(D2:D5)</f>
        <v>25</v>
      </c>
      <c r="E6" s="22">
        <f>SUM(E2:E5)</f>
        <v>466500</v>
      </c>
      <c r="F6" s="23">
        <f>SUM(F2:F5)</f>
        <v>444420</v>
      </c>
      <c r="G6" s="20">
        <f>SUM(G2:G5)</f>
        <v>93300</v>
      </c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2026-09-16T08:33:58Z</dcterms:created>
  <dcterms:modified xsi:type="dcterms:W3CDTF">2026-09-16T09:32:15Z</dcterms:modified>
</cp:coreProperties>
</file>